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Ealso0Y4U2NKV78XKAO5qlDlaoIwtPR2wjOV/TwsS8="/>
    </ext>
  </extLst>
</workbook>
</file>

<file path=xl/sharedStrings.xml><?xml version="1.0" encoding="utf-8"?>
<sst xmlns="http://schemas.openxmlformats.org/spreadsheetml/2006/main" count="29" uniqueCount="28">
  <si>
    <t>Accès Badminton</t>
  </si>
  <si>
    <t>FACTURE #4001</t>
  </si>
  <si>
    <t>Facturer à</t>
  </si>
  <si>
    <t>Client</t>
  </si>
  <si>
    <t>[Customer Name]</t>
  </si>
  <si>
    <t>Adresse</t>
  </si>
  <si>
    <t>[Address]
[City, ST  ZIP Code]</t>
  </si>
  <si>
    <t>Modalité de paiement</t>
  </si>
  <si>
    <r>
      <rPr>
        <rFont val="Arial"/>
        <b/>
        <color rgb="FF404040"/>
        <sz val="9.0"/>
      </rPr>
      <t>Payable 5 jours après la reception de la facture</t>
    </r>
    <r>
      <rPr>
        <rFont val="Arial"/>
        <color rgb="FF404040"/>
        <sz val="9.0"/>
      </rPr>
      <t xml:space="preserve">
E-transfer Interac à info@accesbadminton.ca</t>
    </r>
  </si>
  <si>
    <t>Indiquer le Numéro de la facture avec le transfert.
Réponse à la question de sécurité : Onibad</t>
  </si>
  <si>
    <t>Qté.</t>
  </si>
  <si>
    <t># d’article</t>
  </si>
  <si>
    <t>Description</t>
  </si>
  <si>
    <t>Prix Unitaire</t>
  </si>
  <si>
    <t xml:space="preserve"> Total</t>
  </si>
  <si>
    <t>Entraînement Adulte: Avancés/Compétitifs Jeudi A2025
Essai/Selection (Tryout) gratuit: jeudi le 11 Septembre 2024</t>
  </si>
  <si>
    <t>Entraînement Adulte: Avancés/Compétitifs Jeudi A2025
Si selection confirmé</t>
  </si>
  <si>
    <t>Entraînement Adulte: Tous Niveaux Dimanche A2024</t>
  </si>
  <si>
    <t>Entraînement Junior : Tous Niveaux Dimanche A2024</t>
  </si>
  <si>
    <t>Cotisation</t>
  </si>
  <si>
    <t>Sous-Total</t>
  </si>
  <si>
    <t xml:space="preserve">Code Rabais : </t>
  </si>
  <si>
    <t>Total</t>
  </si>
  <si>
    <t>Nous vous remercions de votre confiance</t>
  </si>
  <si>
    <t>Aucun remboursement ne sera accordé à l'exception d’une raison majeure (maladie, accident, etc.). Une
preuve justificative est alors exigée.</t>
  </si>
  <si>
    <t>3355 Rue des Monarques, Saint-Hubert, Québec J3Y 0G7</t>
  </si>
  <si>
    <t>https://accesbadminton.ca/</t>
  </si>
  <si>
    <t>info@accesbadminton.ca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</si>
</sst>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1.0"/>
      <color theme="1"/>
      <name val="Calibri"/>
      <scheme val="minor"/>
    </font>
    <font>
      <sz val="19.0"/>
      <color rgb="FF383C42"/>
      <name val="Arial Black"/>
    </font>
    <font>
      <b/>
      <sz val="12.0"/>
      <color rgb="FFE6667D"/>
      <name val="Arial"/>
    </font>
    <font>
      <b/>
      <sz val="14.0"/>
      <color rgb="FF383C42"/>
      <name val="Arial"/>
    </font>
    <font>
      <b/>
      <sz val="9.0"/>
      <color rgb="FF404040"/>
      <name val="Arial"/>
    </font>
    <font/>
    <font>
      <sz val="9.0"/>
      <color rgb="FF404040"/>
      <name val="Arial"/>
    </font>
    <font>
      <b/>
      <sz val="9.0"/>
      <color rgb="FF000000"/>
      <name val="Arial"/>
    </font>
    <font>
      <b/>
      <sz val="9.0"/>
      <color theme="1"/>
      <name val="Arial"/>
    </font>
    <font>
      <sz val="9.0"/>
      <color rgb="FF2E74B5"/>
      <name val="Arial Black"/>
    </font>
  </fonts>
  <fills count="3">
    <fill>
      <patternFill patternType="none"/>
    </fill>
    <fill>
      <patternFill patternType="lightGray"/>
    </fill>
    <fill>
      <patternFill patternType="solid">
        <fgColor rgb="FF82DBD8"/>
        <bgColor rgb="FF82DBD8"/>
      </patternFill>
    </fill>
  </fills>
  <borders count="3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14" xfId="0" applyAlignment="1" applyFont="1" applyNumberFormat="1">
      <alignment horizontal="left"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6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5" numFmtId="0" xfId="0" applyBorder="1" applyFont="1"/>
    <xf borderId="11" fillId="0" fontId="5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3" fillId="0" fontId="5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7" fillId="0" fontId="5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9" fillId="0" fontId="5" numFmtId="0" xfId="0" applyBorder="1" applyFont="1"/>
    <xf borderId="20" fillId="2" fontId="4" numFmtId="0" xfId="0" applyAlignment="1" applyBorder="1" applyFont="1">
      <alignment horizontal="center" shrinkToFit="0" vertical="center" wrapText="1"/>
    </xf>
    <xf borderId="21" fillId="2" fontId="4" numFmtId="0" xfId="0" applyAlignment="1" applyBorder="1" applyFont="1">
      <alignment horizontal="center" shrinkToFit="0" vertical="center" wrapText="1"/>
    </xf>
    <xf borderId="22" fillId="2" fontId="4" numFmtId="0" xfId="0" applyAlignment="1" applyBorder="1" applyFont="1">
      <alignment horizontal="left" shrinkToFit="0" vertical="center" wrapText="1"/>
    </xf>
    <xf borderId="23" fillId="0" fontId="5" numFmtId="0" xfId="0" applyBorder="1" applyFont="1"/>
    <xf borderId="21" fillId="2" fontId="4" numFmtId="0" xfId="0" applyAlignment="1" applyBorder="1" applyFont="1">
      <alignment horizontal="left" shrinkToFit="0" vertical="center" wrapText="1"/>
    </xf>
    <xf borderId="24" fillId="2" fontId="4" numFmtId="0" xfId="0" applyAlignment="1" applyBorder="1" applyFont="1">
      <alignment horizontal="left" shrinkToFit="0" vertical="center" wrapText="1"/>
    </xf>
    <xf borderId="25" fillId="0" fontId="6" numFmtId="0" xfId="0" applyAlignment="1" applyBorder="1" applyFont="1">
      <alignment horizontal="left" shrinkToFit="0" vertical="center" wrapText="1"/>
    </xf>
    <xf borderId="26" fillId="0" fontId="6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26" fillId="0" fontId="6" numFmtId="164" xfId="0" applyAlignment="1" applyBorder="1" applyFont="1" applyNumberFormat="1">
      <alignment horizontal="left" shrinkToFit="0" vertical="center" wrapText="1"/>
    </xf>
    <xf borderId="27" fillId="0" fontId="6" numFmtId="164" xfId="0" applyAlignment="1" applyBorder="1" applyFont="1" applyNumberFormat="1">
      <alignment horizontal="left" shrinkToFit="0" vertical="center" wrapText="1"/>
    </xf>
    <xf borderId="26" fillId="0" fontId="6" numFmtId="164" xfId="0" applyAlignment="1" applyBorder="1" applyFont="1" applyNumberFormat="1">
      <alignment horizontal="left" readingOrder="0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right" shrinkToFit="0" vertical="center" wrapText="1"/>
    </xf>
    <xf borderId="27" fillId="0" fontId="6" numFmtId="16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right" shrinkToFit="0" vertical="center" wrapText="1"/>
    </xf>
    <xf borderId="5" fillId="0" fontId="6" numFmtId="0" xfId="0" applyAlignment="1" applyBorder="1" applyFont="1">
      <alignment shrinkToFit="0" vertical="center" wrapText="1"/>
    </xf>
    <xf borderId="8" fillId="0" fontId="6" numFmtId="164" xfId="0" applyAlignment="1" applyBorder="1" applyFont="1" applyNumberFormat="1">
      <alignment horizontal="right" shrinkToFit="0" vertical="center" wrapText="1"/>
    </xf>
    <xf borderId="28" fillId="0" fontId="6" numFmtId="0" xfId="0" applyAlignment="1" applyBorder="1" applyFont="1">
      <alignment horizontal="right" shrinkToFit="0" vertical="center" wrapText="1"/>
    </xf>
    <xf borderId="29" fillId="0" fontId="5" numFmtId="0" xfId="0" applyBorder="1" applyFont="1"/>
    <xf borderId="30" fillId="2" fontId="7" numFmtId="0" xfId="0" applyAlignment="1" applyBorder="1" applyFont="1">
      <alignment horizontal="right" shrinkToFit="0" vertical="center" wrapText="1"/>
    </xf>
    <xf borderId="31" fillId="0" fontId="5" numFmtId="0" xfId="0" applyBorder="1" applyFont="1"/>
    <xf borderId="32" fillId="0" fontId="5" numFmtId="0" xfId="0" applyBorder="1" applyFont="1"/>
    <xf borderId="33" fillId="2" fontId="8" numFmtId="164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9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762000</xdr:colOff>
      <xdr:row>0</xdr:row>
      <xdr:rowOff>28575</xdr:rowOff>
    </xdr:from>
    <xdr:ext cx="3448050" cy="923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8.71"/>
    <col customWidth="1" min="3" max="3" width="11.71"/>
    <col customWidth="1" min="4" max="4" width="35.71"/>
    <col customWidth="1" min="5" max="5" width="7.14"/>
    <col customWidth="1" min="6" max="7" width="10.29"/>
    <col customWidth="1" min="8" max="26" width="8.71"/>
  </cols>
  <sheetData>
    <row r="1">
      <c r="A1" s="1" t="s">
        <v>0</v>
      </c>
    </row>
    <row r="2">
      <c r="A2" s="2">
        <v>45893.0</v>
      </c>
    </row>
    <row r="4">
      <c r="A4" s="3" t="s">
        <v>1</v>
      </c>
    </row>
    <row r="6" ht="15.75" customHeight="1">
      <c r="A6" s="4" t="s">
        <v>2</v>
      </c>
      <c r="B6" s="5"/>
      <c r="C6" s="5"/>
      <c r="D6" s="5"/>
      <c r="E6" s="5"/>
      <c r="F6" s="5"/>
      <c r="G6" s="6"/>
    </row>
    <row r="7" ht="20.25" customHeight="1">
      <c r="A7" s="7" t="s">
        <v>3</v>
      </c>
      <c r="B7" s="8"/>
      <c r="C7" s="9" t="s">
        <v>4</v>
      </c>
      <c r="D7" s="10"/>
      <c r="E7" s="10"/>
      <c r="F7" s="10"/>
      <c r="G7" s="11"/>
    </row>
    <row r="8" ht="45.0" customHeight="1">
      <c r="A8" s="7" t="s">
        <v>5</v>
      </c>
      <c r="B8" s="8"/>
      <c r="C8" s="12" t="s">
        <v>6</v>
      </c>
      <c r="D8" s="13"/>
      <c r="E8" s="13"/>
      <c r="F8" s="13"/>
      <c r="G8" s="14"/>
    </row>
    <row r="9" ht="24.0" customHeight="1">
      <c r="A9" s="15" t="s">
        <v>7</v>
      </c>
      <c r="B9" s="16"/>
      <c r="C9" s="17" t="s">
        <v>8</v>
      </c>
      <c r="D9" s="18"/>
      <c r="E9" s="18"/>
      <c r="F9" s="18"/>
      <c r="G9" s="19"/>
    </row>
    <row r="10" ht="24.0" customHeight="1">
      <c r="A10" s="20"/>
      <c r="B10" s="21"/>
      <c r="C10" s="22" t="s">
        <v>9</v>
      </c>
      <c r="D10" s="23"/>
      <c r="E10" s="23"/>
      <c r="F10" s="23"/>
      <c r="G10" s="24"/>
    </row>
    <row r="12" ht="26.25" customHeight="1">
      <c r="A12" s="25" t="s">
        <v>10</v>
      </c>
      <c r="B12" s="26" t="s">
        <v>11</v>
      </c>
      <c r="C12" s="27" t="s">
        <v>12</v>
      </c>
      <c r="D12" s="5"/>
      <c r="E12" s="28"/>
      <c r="F12" s="29" t="s">
        <v>13</v>
      </c>
      <c r="G12" s="30" t="s">
        <v>14</v>
      </c>
    </row>
    <row r="13" ht="26.25" customHeight="1">
      <c r="A13" s="31">
        <v>1.0</v>
      </c>
      <c r="B13" s="32"/>
      <c r="C13" s="33" t="s">
        <v>15</v>
      </c>
      <c r="D13" s="10"/>
      <c r="E13" s="8"/>
      <c r="F13" s="34">
        <v>0.0</v>
      </c>
      <c r="G13" s="35">
        <f t="shared" ref="G13:G17" si="1">A13*F13</f>
        <v>0</v>
      </c>
    </row>
    <row r="14" ht="26.25" customHeight="1">
      <c r="A14" s="31">
        <v>0.0</v>
      </c>
      <c r="B14" s="32"/>
      <c r="C14" s="33" t="s">
        <v>16</v>
      </c>
      <c r="D14" s="10"/>
      <c r="E14" s="8"/>
      <c r="F14" s="36">
        <v>350.0</v>
      </c>
      <c r="G14" s="35">
        <f t="shared" si="1"/>
        <v>0</v>
      </c>
    </row>
    <row r="15" ht="26.25" customHeight="1">
      <c r="A15" s="31">
        <v>1.0</v>
      </c>
      <c r="B15" s="32"/>
      <c r="C15" s="37" t="s">
        <v>17</v>
      </c>
      <c r="D15" s="10"/>
      <c r="E15" s="8"/>
      <c r="F15" s="36">
        <v>310.0</v>
      </c>
      <c r="G15" s="35">
        <f t="shared" si="1"/>
        <v>310</v>
      </c>
    </row>
    <row r="16" ht="26.25" customHeight="1">
      <c r="A16" s="31">
        <v>1.0</v>
      </c>
      <c r="B16" s="32"/>
      <c r="C16" s="37" t="s">
        <v>18</v>
      </c>
      <c r="D16" s="10"/>
      <c r="E16" s="8"/>
      <c r="F16" s="34">
        <v>240.0</v>
      </c>
      <c r="G16" s="35">
        <f t="shared" si="1"/>
        <v>240</v>
      </c>
    </row>
    <row r="17" ht="26.25" customHeight="1">
      <c r="A17" s="31">
        <v>1.0</v>
      </c>
      <c r="B17" s="32"/>
      <c r="C17" s="37" t="s">
        <v>19</v>
      </c>
      <c r="D17" s="10"/>
      <c r="E17" s="8"/>
      <c r="F17" s="34">
        <v>20.0</v>
      </c>
      <c r="G17" s="35">
        <f t="shared" si="1"/>
        <v>20</v>
      </c>
    </row>
    <row r="18" ht="26.25" customHeight="1">
      <c r="A18" s="31"/>
      <c r="B18" s="32"/>
      <c r="C18" s="37"/>
      <c r="D18" s="10"/>
      <c r="E18" s="8"/>
      <c r="F18" s="34"/>
      <c r="G18" s="35"/>
    </row>
    <row r="19" ht="26.25" customHeight="1">
      <c r="A19" s="31"/>
      <c r="B19" s="32"/>
      <c r="C19" s="37"/>
      <c r="D19" s="10"/>
      <c r="E19" s="8"/>
      <c r="F19" s="34"/>
      <c r="G19" s="35"/>
    </row>
    <row r="20" ht="26.25" customHeight="1">
      <c r="A20" s="38" t="s">
        <v>20</v>
      </c>
      <c r="B20" s="18"/>
      <c r="C20" s="18"/>
      <c r="D20" s="18"/>
      <c r="E20" s="18"/>
      <c r="F20" s="16"/>
      <c r="G20" s="39">
        <f>SUM(G13:G19)</f>
        <v>570</v>
      </c>
    </row>
    <row r="21" ht="26.25" customHeight="1">
      <c r="A21" s="40" t="s">
        <v>21</v>
      </c>
      <c r="B21" s="10"/>
      <c r="C21" s="10"/>
      <c r="D21" s="10"/>
      <c r="E21" s="10"/>
      <c r="F21" s="41"/>
      <c r="G21" s="42" t="str">
        <f>IF(F21="Px Knight",G20*-0.1,)</f>
        <v/>
      </c>
    </row>
    <row r="22" ht="26.25" customHeight="1">
      <c r="A22" s="43"/>
      <c r="B22" s="13"/>
      <c r="C22" s="13"/>
      <c r="D22" s="13"/>
      <c r="E22" s="13"/>
      <c r="F22" s="44"/>
      <c r="G22" s="39"/>
    </row>
    <row r="23" ht="26.25" customHeight="1">
      <c r="A23" s="45" t="s">
        <v>22</v>
      </c>
      <c r="B23" s="46"/>
      <c r="C23" s="46"/>
      <c r="D23" s="46"/>
      <c r="E23" s="46"/>
      <c r="F23" s="47"/>
      <c r="G23" s="48">
        <f>G20+G21+G22</f>
        <v>570</v>
      </c>
    </row>
    <row r="24" ht="15.75" customHeight="1"/>
    <row r="25" ht="15.75" customHeight="1">
      <c r="A25" s="49" t="s">
        <v>23</v>
      </c>
    </row>
    <row r="26" ht="15.75" customHeight="1"/>
    <row r="27" ht="29.25" customHeight="1">
      <c r="A27" s="50" t="s">
        <v>24</v>
      </c>
    </row>
    <row r="28" ht="15.75" customHeight="1">
      <c r="A28" s="51" t="s">
        <v>0</v>
      </c>
    </row>
    <row r="29" ht="15.75" customHeight="1">
      <c r="A29" s="52" t="s">
        <v>25</v>
      </c>
    </row>
    <row r="30" ht="15.75" customHeight="1">
      <c r="A30" s="52" t="s">
        <v>26</v>
      </c>
    </row>
    <row r="31" ht="15.75" customHeight="1">
      <c r="A31" s="52" t="s">
        <v>27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2:C2"/>
    <mergeCell ref="A6:G6"/>
    <mergeCell ref="A7:B7"/>
    <mergeCell ref="C7:G7"/>
    <mergeCell ref="A8:B8"/>
    <mergeCell ref="C8:G8"/>
    <mergeCell ref="A9:B10"/>
    <mergeCell ref="C17:E17"/>
    <mergeCell ref="C18:E18"/>
    <mergeCell ref="C19:E19"/>
    <mergeCell ref="A20:F20"/>
    <mergeCell ref="A21:E21"/>
    <mergeCell ref="A22:F22"/>
    <mergeCell ref="A23:F23"/>
    <mergeCell ref="A27:G27"/>
    <mergeCell ref="C9:G9"/>
    <mergeCell ref="C10:G10"/>
    <mergeCell ref="C12:E12"/>
    <mergeCell ref="C13:E13"/>
    <mergeCell ref="C14:E14"/>
    <mergeCell ref="C15:E15"/>
    <mergeCell ref="C16:E16"/>
  </mergeCells>
  <dataValidations>
    <dataValidation type="list" allowBlank="1" showErrorMessage="1" sqref="F21">
      <formula1>"Px Knight"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Richard Luc</dc:creator>
</cp:coreProperties>
</file>